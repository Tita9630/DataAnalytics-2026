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1\"/>
    </mc:Choice>
  </mc:AlternateContent>
  <xr:revisionPtr revIDLastSave="0" documentId="13_ncr:1_{4555A6EF-18DB-48D9-A483-DE9345C6DD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rvey responses" sheetId="1" r:id="rId1"/>
    <sheet name="Charts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2" i="1"/>
  <c r="L15" i="1"/>
  <c r="L14" i="1"/>
  <c r="L13" i="1"/>
  <c r="J12" i="1"/>
  <c r="K12" i="1"/>
  <c r="D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<sst xmlns="http://schemas.openxmlformats.org/spreadsheetml/2006/main" count="87" uniqueCount="42">
  <si>
    <t>ID</t>
  </si>
  <si>
    <t>Start time</t>
  </si>
  <si>
    <t>Completion time</t>
  </si>
  <si>
    <t>Email</t>
  </si>
  <si>
    <t>Name</t>
  </si>
  <si>
    <t>Last modified time</t>
  </si>
  <si>
    <t>How often do you visit our store? </t>
  </si>
  <si>
    <t>What is your most favorite product?</t>
  </si>
  <si>
    <t>How would you rate our customer service?</t>
  </si>
  <si>
    <t>Would you be interested in joining a loyalty program?</t>
  </si>
  <si>
    <t>If answered 'Yes' or 'Maybe' to the 4th question, what kind of program would you prefer?</t>
  </si>
  <si>
    <t>What suggestions do you have to help us improve? </t>
  </si>
  <si>
    <t>anonymous</t>
  </si>
  <si>
    <t>3 to 5 days a week</t>
  </si>
  <si>
    <t>Cookies</t>
  </si>
  <si>
    <t>Excellent;Good;Average;Poor;</t>
  </si>
  <si>
    <t>Maybe</t>
  </si>
  <si>
    <t>Points system</t>
  </si>
  <si>
    <t>none</t>
  </si>
  <si>
    <t>Once a week</t>
  </si>
  <si>
    <t>Donuts</t>
  </si>
  <si>
    <t>Yes</t>
  </si>
  <si>
    <t>Buy one get one free</t>
  </si>
  <si>
    <t xml:space="preserve">Nothing </t>
  </si>
  <si>
    <t>A few times a month</t>
  </si>
  <si>
    <t xml:space="preserve">make it popular </t>
  </si>
  <si>
    <t>Never</t>
  </si>
  <si>
    <t>Other</t>
  </si>
  <si>
    <t>Poor;Good;Average;Excellent;</t>
  </si>
  <si>
    <t>No</t>
  </si>
  <si>
    <t>free items</t>
  </si>
  <si>
    <t>Can you guys make milkshakes?</t>
  </si>
  <si>
    <t xml:space="preserve">Nothing at the moment! </t>
  </si>
  <si>
    <t>Discounts</t>
  </si>
  <si>
    <t>Daily</t>
  </si>
  <si>
    <t>Cake</t>
  </si>
  <si>
    <t xml:space="preserve">Better customer service </t>
  </si>
  <si>
    <t>Time to complete</t>
  </si>
  <si>
    <t>Most prefered program is Buy one get one free</t>
  </si>
  <si>
    <t>Row Labels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</si>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</sst>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7" formatCode="mm/dd/yyyy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NumberFormat="1"/>
    <xf numFmtId="167" fontId="0" fillId="0" borderId="0" xfId="0" applyNumberFormat="1"/>
    <xf numFmtId="45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7" formatCode="mm/dd/yyyy\ hh:mm:ss"/>
    </dxf>
    <dxf>
      <numFmt numFmtId="167" formatCode="mm/dd/yyyy\ hh:mm:ss"/>
    </dxf>
    <dxf>
      <numFmt numFmtId="0" formatCode="General"/>
    </dxf>
    <dxf>
      <numFmt numFmtId="28" formatCode="mm:ss"/>
    </dxf>
    <dxf>
      <numFmt numFmtId="167" formatCode="mm/dd/yyyy\ hh:mm:ss"/>
    </dxf>
    <dxf>
      <numFmt numFmtId="167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[Seasons's Customer Feedback(1-10).xlsx]Charts!PivotTable1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Preferred Loyality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Charts!$A$4:$A$8</c:f>
              <c:strCache>
                <c:ptCount val="4"/>
                <c:pt idx="0">
                  <c:v>Buy one get one free</c:v>
                </c:pt>
                <c:pt idx="1">
                  <c:v>Discounts</c:v>
                </c:pt>
                <c:pt idx="2">
                  <c:v>free items</c:v>
                </c:pt>
                <c:pt idx="3">
                  <c:v>Points system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08E-489E-95A8-8A87F9667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397935"/>
        <c:axId val="1743398895"/>
      </c:barChart>
      <c:catAx>
        <c:axId val="174339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98895"/>
        <c:crosses val="autoZero"/>
        <c:auto val="1"/>
        <c:lblAlgn val="ctr"/>
        <c:lblOffset val="100"/>
        <c:noMultiLvlLbl val="0"/>
      </c:catAx>
      <c:valAx>
        <c:axId val="17433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39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[Seasons's Customer Feedback(1-10).xlsx]Charts!PivotTable3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Favorite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DA-4A8E-824A-AF4315136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DA-4A8E-824A-AF4315136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DA-4A8E-824A-AF43151360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Charts!$A$20:$A$24</c:f>
              <c:strCache>
                <c:ptCount val="4"/>
                <c:pt idx="0">
                  <c:v>Cake</c:v>
                </c:pt>
                <c:pt idx="1">
                  <c:v>Cookies</c:v>
                </c:pt>
                <c:pt idx="2">
                  <c:v>Donuts</c:v>
                </c:pt>
                <c:pt idx="3">
                  <c:v>Other</c:v>
                </c:pt>
              </c:strCache>
            </c:strRef>
          </c:cat>
          <c:val>
            <c:numRef>
              <c:f>Charts!$B$20:$B$24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A-4A8E-824A-AF43151360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603250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921A4-7DDB-B4D0-5E78-200BB89A1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600075</xdr:colOff>
      <xdr:row>17</xdr:row>
      <xdr:rowOff>69850</xdr:rowOff>
    </xdr:from>
    <xdr:to>
      <xdr:col>16</xdr:col>
      <xdr:colOff>0</xdr:colOff>
      <xdr:row>32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9500A0-4628-06D7-5D1D-0CFE1E305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21.808683680552" createdVersion="8" refreshedVersion="8" minRefreshableVersion="3" recordCount="10" xr:uid="{8D6A6DDC-4212-4E29-912A-92A568232FAA}">
  <cacheSource type="worksheet">
    <worksheetSource name="Table1"/>
  </cacheSource>
  <cacheFields count="13">
    <cacheField name="ID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tart time" numFmtId="167">
      <sharedItems containsSemiMixedTypes="0" containsNonDate="0" containsDate="1" containsString="0" minDate="2026-04-08T14:40:24" maxDate="2026-04-09T16:32:02"/>
    </cacheField>
    <cacheField name="Completion time" numFmtId="167">
      <sharedItems containsSemiMixedTypes="0" containsNonDate="0" containsDate="1" containsString="0" minDate="2026-04-08T14:40:54" maxDate="2026-04-09T16:32:36"/>
    </cacheField>
    <cacheField name="Time to complete" numFmtId="45">
      <sharedItems containsSemiMixedTypes="0" containsNonDate="0" containsDate="1" containsString="0" minDate="1899-12-30T00:00:17" maxDate="1899-12-30T00:03:45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How often do you visit our store? " numFmtId="0">
      <sharedItems count="5">
        <s v="3 to 5 days a week"/>
        <s v="Once a week"/>
        <s v="A few times a month"/>
        <s v="Never"/>
        <s v="Daily"/>
      </sharedItems>
    </cacheField>
    <cacheField name="What is your most favorite product?" numFmtId="0">
      <sharedItems count="4">
        <s v="Cookies"/>
        <s v="Donuts"/>
        <s v="Other"/>
        <s v="Cake"/>
      </sharedItems>
    </cacheField>
    <cacheField name="How would you rate our customer service?" numFmtId="0">
      <sharedItems containsBlank="1"/>
    </cacheField>
    <cacheField name="Would you be interested in joining a loyalty program?" numFmtId="0">
      <sharedItems count="3">
        <s v="Maybe"/>
        <s v="Yes"/>
        <s v="No"/>
      </sharedItems>
    </cacheField>
    <cacheField name="If answered 'Yes' or 'Maybe' to the 4th question, what kind of program would you prefer?" numFmtId="0">
      <sharedItems count="4">
        <s v="Points system"/>
        <s v="Buy one get one free"/>
        <s v="free items"/>
        <s v="Discounts"/>
      </sharedItems>
    </cacheField>
    <cacheField name="What suggestions do you have to help us improve?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6-04-08T14:40:24"/>
    <d v="2026-04-08T14:40:54"/>
    <d v="1899-12-30T00:00:30"/>
    <s v="anonymous"/>
    <m/>
    <m/>
    <x v="0"/>
    <x v="0"/>
    <s v="Excellent;Good;Average;Poor;"/>
    <x v="0"/>
    <x v="0"/>
    <s v="none"/>
  </r>
  <r>
    <x v="1"/>
    <d v="2026-04-08T15:27:16"/>
    <d v="2026-04-08T15:27:51"/>
    <d v="1899-12-30T00:00:35"/>
    <s v="anonymous"/>
    <m/>
    <m/>
    <x v="1"/>
    <x v="1"/>
    <s v="Excellent;Good;Average;Poor;"/>
    <x v="1"/>
    <x v="1"/>
    <s v="Nothing "/>
  </r>
  <r>
    <x v="2"/>
    <d v="2026-04-08T21:51:10"/>
    <d v="2026-04-08T21:51:53"/>
    <d v="1899-12-30T00:00:43"/>
    <s v="anonymous"/>
    <m/>
    <m/>
    <x v="2"/>
    <x v="0"/>
    <m/>
    <x v="1"/>
    <x v="0"/>
    <m/>
  </r>
  <r>
    <x v="3"/>
    <d v="2026-04-08T22:54:15"/>
    <d v="2026-04-08T22:56:05"/>
    <d v="1899-12-30T00:01:50"/>
    <s v="anonymous"/>
    <m/>
    <m/>
    <x v="1"/>
    <x v="1"/>
    <m/>
    <x v="0"/>
    <x v="1"/>
    <s v="make it popular "/>
  </r>
  <r>
    <x v="4"/>
    <d v="2026-04-09T09:45:23"/>
    <d v="2026-04-09T09:49:08"/>
    <d v="1899-12-30T00:03:45"/>
    <s v="anonymous"/>
    <m/>
    <m/>
    <x v="3"/>
    <x v="2"/>
    <s v="Poor;Good;Average;Excellent;"/>
    <x v="2"/>
    <x v="2"/>
    <m/>
  </r>
  <r>
    <x v="5"/>
    <d v="2026-04-09T11:33:12"/>
    <d v="2026-04-09T11:35:55"/>
    <d v="1899-12-30T00:02:43"/>
    <s v="anonymous"/>
    <m/>
    <m/>
    <x v="0"/>
    <x v="0"/>
    <m/>
    <x v="1"/>
    <x v="1"/>
    <s v="Can you guys make milkshakes?"/>
  </r>
  <r>
    <x v="6"/>
    <d v="2026-04-09T11:38:01"/>
    <d v="2026-04-09T11:38:18"/>
    <d v="1899-12-30T00:00:17"/>
    <s v="anonymous"/>
    <m/>
    <m/>
    <x v="0"/>
    <x v="0"/>
    <m/>
    <x v="1"/>
    <x v="1"/>
    <s v="Nothing at the moment! "/>
  </r>
  <r>
    <x v="7"/>
    <d v="2026-04-09T16:29:55"/>
    <d v="2026-04-09T16:30:28"/>
    <d v="1899-12-30T00:00:33"/>
    <s v="anonymous"/>
    <m/>
    <m/>
    <x v="0"/>
    <x v="0"/>
    <m/>
    <x v="1"/>
    <x v="3"/>
    <m/>
  </r>
  <r>
    <x v="8"/>
    <d v="2026-04-09T16:30:45"/>
    <d v="2026-04-09T16:31:33"/>
    <d v="1899-12-30T00:00:48"/>
    <s v="anonymous"/>
    <m/>
    <m/>
    <x v="4"/>
    <x v="3"/>
    <m/>
    <x v="0"/>
    <x v="1"/>
    <s v="Better customer service "/>
  </r>
  <r>
    <x v="9"/>
    <d v="2026-04-09T16:32:02"/>
    <d v="2026-04-09T16:32:36"/>
    <d v="1899-12-30T00:00:34"/>
    <s v="anonymous"/>
    <m/>
    <m/>
    <x v="1"/>
    <x v="0"/>
    <m/>
    <x v="1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F07EA-EDDC-4B9E-B6E7-FFF58FD55FB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B24" firstHeaderRow="1" firstDataRow="1" firstDataCol="1"/>
  <pivotFields count="13">
    <pivotField dataField="1" showAll="0"/>
    <pivotField numFmtId="167" showAll="0"/>
    <pivotField numFmtId="167" showAll="0"/>
    <pivotField numFmtId="45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5EDF5-35B3-42BE-A3DB-464C7CDC543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3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7" showAll="0"/>
    <pivotField numFmtId="167" showAll="0"/>
    <pivotField numFmtId="45" showAll="0"/>
    <pivotField showAll="0"/>
    <pivotField showAll="0"/>
    <pivotField showAll="0"/>
    <pivotField showAll="0">
      <items count="6">
        <item x="0"/>
        <item x="2"/>
        <item x="4"/>
        <item x="3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11" baseItem="0"/>
  </dataFields>
  <chartFormats count="2">
    <chartFormat chart="0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2" totalsRowCount="1">
  <autoFilter ref="A1:M11" xr:uid="{00000000-0009-0000-0100-000001000000}"/>
  <tableColumns count="13">
    <tableColumn id="1" xr3:uid="{00000000-0010-0000-0000-000001000000}" name="ID" dataDxfId="16" totalsRowDxfId="12"/>
    <tableColumn id="2" xr3:uid="{00000000-0010-0000-0000-000002000000}" name="Start time" dataDxfId="15" totalsRowDxfId="11"/>
    <tableColumn id="3" xr3:uid="{00000000-0010-0000-0000-000003000000}" name="Completion time" dataDxfId="14" totalsRowDxfId="10"/>
    <tableColumn id="13" xr3:uid="{227E858D-5E8F-470B-BF54-A0DF7466BCC1}" name="Time to complete" totalsRowFunction="custom" dataDxfId="13" totalsRowDxfId="9">
      <calculatedColumnFormula>Table1[[#This Row],[Completion time]]-Table1[[#This Row],[Start time]]</calculatedColumnFormula>
      <totalsRowFormula>AVERAGE(D2:D11)</totalsRowFormula>
    </tableColumn>
    <tableColumn id="4" xr3:uid="{00000000-0010-0000-0000-000004000000}" name="Email" dataDxfId="24" totalsRowDxfId="8"/>
    <tableColumn id="5" xr3:uid="{00000000-0010-0000-0000-000005000000}" name="Name" dataDxfId="23" totalsRowDxfId="7"/>
    <tableColumn id="6" xr3:uid="{00000000-0010-0000-0000-000006000000}" name="Last modified time" dataDxfId="22" totalsRowDxfId="6"/>
    <tableColumn id="7" xr3:uid="{00000000-0010-0000-0000-000007000000}" name="How often do you visit our store? " dataDxfId="21" totalsRowDxfId="5"/>
    <tableColumn id="8" xr3:uid="{00000000-0010-0000-0000-000008000000}" name="What is your most favorite product?" dataDxfId="20"/>
    <tableColumn id="9" xr3:uid="{00000000-0010-0000-0000-000009000000}" name="How would you rate our customer service?" totalsRowFunction="custom" dataDxfId="19" totalsRowDxfId="4">
      <totalsRowFormula>AVERAGE(_xlfn.SWITCH("Poor",1, "Average",2, "Good",3, "Excellent","4"))</totalsRowFormula>
    </tableColumn>
    <tableColumn id="10" xr3:uid="{00000000-0010-0000-0000-00000A000000}" name="Would you be interested in joining a loyalty program?" totalsRowFunction="custom" dataDxfId="18" totalsRowDxfId="3">
      <totalsRowFormula>SUM(COUNTIF(Table1[Would you be interested in joining a loyalty program?], "Yes"), COUNTIF(Table1[Would you be interested in joining a loyalty program?], "Maybe"))</totalsRowFormula>
    </tableColumn>
    <tableColumn id="11" xr3:uid="{00000000-0010-0000-0000-00000B000000}" name="If answered 'Yes' or 'Maybe' to the 4th question, what kind of program would you prefer?" totalsRowFunction="custom" dataDxfId="1" totalsRowDxfId="0">
      <totalsRowFormula>COUNTIF(Table1[If answered ''Yes'' or ''Maybe'' to the 4th question, what kind of program would you prefer?], "Points system")</totalsRowFormula>
    </tableColumn>
    <tableColumn id="12" xr3:uid="{00000000-0010-0000-0000-00000C000000}" name="What suggestions do you have to help us improve? " dataDxfId="17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B23" sqref="B23"/>
    </sheetView>
  </sheetViews>
  <sheetFormatPr defaultRowHeight="14.5" x14ac:dyDescent="0.35"/>
  <cols>
    <col min="1" max="1" width="20" bestFit="1" customWidth="1"/>
    <col min="2" max="2" width="20" style="3" bestFit="1" customWidth="1"/>
    <col min="3" max="3" width="20" bestFit="1" customWidth="1"/>
    <col min="4" max="4" width="20" customWidth="1"/>
    <col min="5" max="13" width="20" bestFit="1" customWidth="1"/>
  </cols>
  <sheetData>
    <row r="1" spans="1:13" x14ac:dyDescent="0.35">
      <c r="A1" t="s">
        <v>0</v>
      </c>
      <c r="B1" s="3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 s="3">
        <v>46120.611388888901</v>
      </c>
      <c r="C2" s="3">
        <v>46120.611736111103</v>
      </c>
      <c r="D2" s="4">
        <f>Table1[[#This Row],[Completion time]]-Table1[[#This Row],[Start time]]</f>
        <v>3.4722220152616501E-4</v>
      </c>
      <c r="E2" t="s">
        <v>12</v>
      </c>
      <c r="G2" s="1"/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35">
      <c r="A3">
        <v>2</v>
      </c>
      <c r="B3" s="3">
        <v>46120.643935185202</v>
      </c>
      <c r="C3" s="3">
        <v>46120.644340277802</v>
      </c>
      <c r="D3" s="4">
        <f>Table1[[#This Row],[Completion time]]-Table1[[#This Row],[Start time]]</f>
        <v>4.0509259997634217E-4</v>
      </c>
      <c r="E3" t="s">
        <v>12</v>
      </c>
      <c r="G3" s="1"/>
      <c r="H3" t="s">
        <v>19</v>
      </c>
      <c r="I3" t="s">
        <v>20</v>
      </c>
      <c r="J3" t="s">
        <v>15</v>
      </c>
      <c r="K3" t="s">
        <v>21</v>
      </c>
      <c r="L3" t="s">
        <v>22</v>
      </c>
      <c r="M3" t="s">
        <v>23</v>
      </c>
    </row>
    <row r="4" spans="1:13" x14ac:dyDescent="0.35">
      <c r="A4">
        <v>3</v>
      </c>
      <c r="B4" s="3">
        <v>46120.910532407397</v>
      </c>
      <c r="C4" s="3">
        <v>46120.911030092597</v>
      </c>
      <c r="D4" s="4">
        <f>Table1[[#This Row],[Completion time]]-Table1[[#This Row],[Start time]]</f>
        <v>4.9768519966164604E-4</v>
      </c>
      <c r="E4" t="s">
        <v>12</v>
      </c>
      <c r="G4" s="1"/>
      <c r="H4" t="s">
        <v>24</v>
      </c>
      <c r="I4" t="s">
        <v>14</v>
      </c>
      <c r="K4" t="s">
        <v>21</v>
      </c>
      <c r="L4" t="s">
        <v>17</v>
      </c>
    </row>
    <row r="5" spans="1:13" x14ac:dyDescent="0.35">
      <c r="A5">
        <v>4</v>
      </c>
      <c r="B5" s="3">
        <v>46120.9543402778</v>
      </c>
      <c r="C5" s="3">
        <v>46120.955613425896</v>
      </c>
      <c r="D5" s="4">
        <f>Table1[[#This Row],[Completion time]]-Table1[[#This Row],[Start time]]</f>
        <v>1.2731480965157971E-3</v>
      </c>
      <c r="E5" t="s">
        <v>12</v>
      </c>
      <c r="G5" s="1"/>
      <c r="H5" t="s">
        <v>19</v>
      </c>
      <c r="I5" t="s">
        <v>20</v>
      </c>
      <c r="K5" t="s">
        <v>16</v>
      </c>
      <c r="L5" t="s">
        <v>22</v>
      </c>
      <c r="M5" t="s">
        <v>25</v>
      </c>
    </row>
    <row r="6" spans="1:13" x14ac:dyDescent="0.35">
      <c r="A6">
        <v>5</v>
      </c>
      <c r="B6" s="3">
        <v>46121.4065162037</v>
      </c>
      <c r="C6" s="3">
        <v>46121.409120370401</v>
      </c>
      <c r="D6" s="4">
        <f>Table1[[#This Row],[Completion time]]-Table1[[#This Row],[Start time]]</f>
        <v>2.6041667006211355E-3</v>
      </c>
      <c r="E6" t="s">
        <v>12</v>
      </c>
      <c r="G6" s="1"/>
      <c r="H6" t="s">
        <v>26</v>
      </c>
      <c r="I6" t="s">
        <v>27</v>
      </c>
      <c r="J6" t="s">
        <v>28</v>
      </c>
      <c r="K6" t="s">
        <v>29</v>
      </c>
      <c r="L6" t="s">
        <v>30</v>
      </c>
    </row>
    <row r="7" spans="1:13" x14ac:dyDescent="0.35">
      <c r="A7">
        <v>6</v>
      </c>
      <c r="B7" s="3">
        <v>46121.481388888897</v>
      </c>
      <c r="C7" s="3">
        <v>46121.483275462997</v>
      </c>
      <c r="D7" s="4">
        <f>Table1[[#This Row],[Completion time]]-Table1[[#This Row],[Start time]]</f>
        <v>1.8865741003537551E-3</v>
      </c>
      <c r="E7" t="s">
        <v>12</v>
      </c>
      <c r="G7" s="1"/>
      <c r="H7" t="s">
        <v>13</v>
      </c>
      <c r="I7" t="s">
        <v>14</v>
      </c>
      <c r="K7" t="s">
        <v>21</v>
      </c>
      <c r="L7" t="s">
        <v>22</v>
      </c>
      <c r="M7" t="s">
        <v>31</v>
      </c>
    </row>
    <row r="8" spans="1:13" x14ac:dyDescent="0.35">
      <c r="A8">
        <v>7</v>
      </c>
      <c r="B8" s="3">
        <v>46121.4847337963</v>
      </c>
      <c r="C8" s="3">
        <v>46121.484930555598</v>
      </c>
      <c r="D8" s="4">
        <f>Table1[[#This Row],[Completion time]]-Table1[[#This Row],[Start time]]</f>
        <v>1.9675929797813296E-4</v>
      </c>
      <c r="E8" t="s">
        <v>12</v>
      </c>
      <c r="G8" s="1"/>
      <c r="H8" t="s">
        <v>13</v>
      </c>
      <c r="I8" t="s">
        <v>14</v>
      </c>
      <c r="K8" t="s">
        <v>21</v>
      </c>
      <c r="L8" t="s">
        <v>22</v>
      </c>
      <c r="M8" t="s">
        <v>32</v>
      </c>
    </row>
    <row r="9" spans="1:13" x14ac:dyDescent="0.35">
      <c r="A9">
        <v>8</v>
      </c>
      <c r="B9" s="3">
        <v>46121.687442129602</v>
      </c>
      <c r="C9" s="3">
        <v>46121.687824074099</v>
      </c>
      <c r="D9" s="4">
        <f>Table1[[#This Row],[Completion time]]-Table1[[#This Row],[Start time]]</f>
        <v>3.819444973487407E-4</v>
      </c>
      <c r="E9" t="s">
        <v>12</v>
      </c>
      <c r="G9" s="1"/>
      <c r="H9" t="s">
        <v>13</v>
      </c>
      <c r="I9" t="s">
        <v>14</v>
      </c>
      <c r="K9" t="s">
        <v>21</v>
      </c>
      <c r="L9" t="s">
        <v>33</v>
      </c>
    </row>
    <row r="10" spans="1:13" x14ac:dyDescent="0.35">
      <c r="A10">
        <v>9</v>
      </c>
      <c r="B10" s="3">
        <v>46121.688020833302</v>
      </c>
      <c r="C10" s="3">
        <v>46121.6885763889</v>
      </c>
      <c r="D10" s="4">
        <f>Table1[[#This Row],[Completion time]]-Table1[[#This Row],[Start time]]</f>
        <v>5.555555981118232E-4</v>
      </c>
      <c r="E10" t="s">
        <v>12</v>
      </c>
      <c r="G10" s="1"/>
      <c r="H10" t="s">
        <v>34</v>
      </c>
      <c r="I10" t="s">
        <v>35</v>
      </c>
      <c r="K10" t="s">
        <v>16</v>
      </c>
      <c r="L10" t="s">
        <v>22</v>
      </c>
      <c r="M10" t="s">
        <v>36</v>
      </c>
    </row>
    <row r="11" spans="1:13" x14ac:dyDescent="0.35">
      <c r="A11">
        <v>10</v>
      </c>
      <c r="B11" s="3">
        <v>46121.688912037003</v>
      </c>
      <c r="C11" s="3">
        <v>46121.689305555599</v>
      </c>
      <c r="D11" s="4">
        <f>Table1[[#This Row],[Completion time]]-Table1[[#This Row],[Start time]]</f>
        <v>3.9351859595626593E-4</v>
      </c>
      <c r="E11" t="s">
        <v>12</v>
      </c>
      <c r="G11" s="1"/>
      <c r="H11" t="s">
        <v>19</v>
      </c>
      <c r="I11" t="s">
        <v>14</v>
      </c>
      <c r="K11" t="s">
        <v>21</v>
      </c>
      <c r="L11" t="s">
        <v>22</v>
      </c>
    </row>
    <row r="12" spans="1:13" x14ac:dyDescent="0.35">
      <c r="A12" s="2"/>
      <c r="C12" s="3"/>
      <c r="D12" s="4">
        <f>AVERAGE(D2:D11)</f>
        <v>8.5416668880498035E-4</v>
      </c>
      <c r="E12" s="2"/>
      <c r="F12" s="2"/>
      <c r="G12" s="1"/>
      <c r="H12" s="2"/>
      <c r="J12" s="2">
        <f>AVERAGE(_xlfn.SWITCH("Poor",1, "Average",2, "Good",3, "Excellent","4"))</f>
        <v>4</v>
      </c>
      <c r="K12" s="2">
        <f>SUM(COUNTIF(Table1[Would you be interested in joining a loyalty program?], "Yes"), COUNTIF(Table1[Would you be interested in joining a loyalty program?], "Maybe"))</f>
        <v>9</v>
      </c>
      <c r="L12" s="2">
        <f>COUNTIF(Table1[If answered ''Yes'' or ''Maybe'' to the 4th question, what kind of program would you prefer?], "Points system")</f>
        <v>2</v>
      </c>
      <c r="M12" s="2"/>
    </row>
    <row r="13" spans="1:13" x14ac:dyDescent="0.35">
      <c r="L13">
        <f>COUNTIF(Table1[If answered ''Yes'' or ''Maybe'' to the 4th question, what kind of program would you prefer?], "Buy one get one free")</f>
        <v>6</v>
      </c>
    </row>
    <row r="14" spans="1:13" x14ac:dyDescent="0.35">
      <c r="L14">
        <f>COUNTIF(Table1[If answered ''Yes'' or ''Maybe'' to the 4th question, what kind of program would you prefer?], "free items")</f>
        <v>1</v>
      </c>
    </row>
    <row r="15" spans="1:13" x14ac:dyDescent="0.35">
      <c r="L15">
        <f>COUNTIF(Table1[If answered ''Yes'' or ''Maybe'' to the 4th question, what kind of program would you prefer?], "Discounts")</f>
        <v>1</v>
      </c>
    </row>
    <row r="16" spans="1:13" x14ac:dyDescent="0.35">
      <c r="K16" s="5" t="s">
        <v>38</v>
      </c>
      <c r="L16" s="5">
        <f>MAX(L12:L15)</f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56A3-4DC7-45F1-99A6-0C036F8C00DE}">
  <dimension ref="A3:B24"/>
  <sheetViews>
    <sheetView topLeftCell="A14" workbookViewId="0">
      <selection activeCell="B33" sqref="B33"/>
    </sheetView>
  </sheetViews>
  <sheetFormatPr defaultRowHeight="14.5" x14ac:dyDescent="0.35"/>
  <cols>
    <col min="1" max="1" width="12.36328125" bestFit="1" customWidth="1"/>
    <col min="2" max="2" width="10.36328125" bestFit="1" customWidth="1"/>
    <col min="3" max="3" width="8.90625" bestFit="1" customWidth="1"/>
    <col min="4" max="10" width="1.81640625" bestFit="1" customWidth="1"/>
    <col min="11" max="11" width="2.81640625" bestFit="1" customWidth="1"/>
    <col min="12" max="12" width="10.7265625" bestFit="1" customWidth="1"/>
  </cols>
  <sheetData>
    <row r="3" spans="1:2" x14ac:dyDescent="0.35">
      <c r="A3" s="6" t="s">
        <v>39</v>
      </c>
      <c r="B3" t="s">
        <v>41</v>
      </c>
    </row>
    <row r="4" spans="1:2" x14ac:dyDescent="0.35">
      <c r="A4" s="7" t="s">
        <v>22</v>
      </c>
      <c r="B4" s="2">
        <v>6</v>
      </c>
    </row>
    <row r="5" spans="1:2" x14ac:dyDescent="0.35">
      <c r="A5" s="7" t="s">
        <v>33</v>
      </c>
      <c r="B5" s="2">
        <v>1</v>
      </c>
    </row>
    <row r="6" spans="1:2" x14ac:dyDescent="0.35">
      <c r="A6" s="7" t="s">
        <v>30</v>
      </c>
      <c r="B6" s="2">
        <v>1</v>
      </c>
    </row>
    <row r="7" spans="1:2" x14ac:dyDescent="0.35">
      <c r="A7" s="7" t="s">
        <v>17</v>
      </c>
      <c r="B7" s="2">
        <v>2</v>
      </c>
    </row>
    <row r="8" spans="1:2" x14ac:dyDescent="0.35">
      <c r="A8" s="7" t="s">
        <v>40</v>
      </c>
      <c r="B8" s="2">
        <v>10</v>
      </c>
    </row>
    <row r="19" spans="1:2" x14ac:dyDescent="0.35">
      <c r="A19" s="6" t="s">
        <v>39</v>
      </c>
      <c r="B19" t="s">
        <v>41</v>
      </c>
    </row>
    <row r="20" spans="1:2" x14ac:dyDescent="0.35">
      <c r="A20" s="7" t="s">
        <v>35</v>
      </c>
      <c r="B20" s="2">
        <v>1</v>
      </c>
    </row>
    <row r="21" spans="1:2" x14ac:dyDescent="0.35">
      <c r="A21" s="7" t="s">
        <v>14</v>
      </c>
      <c r="B21" s="2">
        <v>6</v>
      </c>
    </row>
    <row r="22" spans="1:2" x14ac:dyDescent="0.35">
      <c r="A22" s="7" t="s">
        <v>20</v>
      </c>
      <c r="B22" s="2">
        <v>2</v>
      </c>
    </row>
    <row r="23" spans="1:2" x14ac:dyDescent="0.35">
      <c r="A23" s="7" t="s">
        <v>27</v>
      </c>
      <c r="B23" s="2">
        <v>1</v>
      </c>
    </row>
    <row r="24" spans="1:2" x14ac:dyDescent="0.35">
      <c r="A24" s="7" t="s">
        <v>40</v>
      </c>
      <c r="B24" s="2">
        <v>10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responses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2026-04-09T20:33:15Z</dcterms:created>
  <dcterms:modified xsi:type="dcterms:W3CDTF">2026-04-10T00:29:44Z</dcterms:modified>
</cp:coreProperties>
</file>